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# Training\Submission\"/>
    </mc:Choice>
  </mc:AlternateContent>
  <xr:revisionPtr revIDLastSave="0" documentId="8_{AF36D906-7F3F-4417-A212-66ECC1988200}" xr6:coauthVersionLast="47" xr6:coauthVersionMax="47" xr10:uidLastSave="{00000000-0000-0000-0000-000000000000}"/>
  <bookViews>
    <workbookView xWindow="-110" yWindow="-110" windowWidth="19420" windowHeight="10300" xr2:uid="{75F2628D-93A2-47B8-ACCD-44203D0678B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" i="1" l="1" a="1"/>
  <c r="A22" i="1" s="1"/>
  <c r="A42" i="1" a="1"/>
  <c r="A42" i="1" s="1"/>
  <c r="A64" i="1" a="1"/>
  <c r="A64" i="1" s="1"/>
  <c r="A91" i="1" a="1"/>
  <c r="A91" i="1" s="1"/>
  <c r="A118" i="1" a="1"/>
  <c r="A118" i="1" s="1"/>
  <c r="A130" i="1" a="1"/>
  <c r="A13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<sst xmlns="http://schemas.openxmlformats.org/spreadsheetml/2006/main" count="114" uniqueCount="81">
  <si>
    <t>-- BANK AND BRANCH</t>
  </si>
  <si>
    <t>CREATE TABLE Bank (</t>
  </si>
  <si>
    <t xml:space="preserve">    BankID INT IDENTITY(1,1) PRIMARY KEY,</t>
  </si>
  <si>
    <t xml:space="preserve">    BankName NVARCHAR(100) NOT NULL,</t>
  </si>
  <si>
    <t xml:space="preserve">    EstablishedDate DATE NULL,</t>
  </si>
  <si>
    <t xml:space="preserve">    Headquarters NVARCHAR(200) NULL,</t>
  </si>
  <si>
    <t xml:space="preserve">    IsActive BIT DEFAULT 1</t>
  </si>
  <si>
    <t>);</t>
  </si>
  <si>
    <t>CREATE TABLE Branch (</t>
  </si>
  <si>
    <t xml:space="preserve">    BranchID INT IDENTITY(1,1) PRIMARY KEY,</t>
  </si>
  <si>
    <t xml:space="preserve">    BankID INT NOT NULL FOREIGN KEY REFERENCES Bank(BankID),</t>
  </si>
  <si>
    <t xml:space="preserve">    BranchName NVARCHAR(100) NOT NULL,</t>
  </si>
  <si>
    <t xml:space="preserve">    Address NVARCHAR(250),</t>
  </si>
  <si>
    <t xml:space="preserve">    City NVARCHAR(100),</t>
  </si>
  <si>
    <t xml:space="preserve">    IFSCCode NVARCHAR(20) UNIQUE,</t>
  </si>
  <si>
    <t xml:space="preserve">    ContactNumber NVARCHAR(20),</t>
  </si>
  <si>
    <t>CREATE TABLE Role (</t>
  </si>
  <si>
    <t xml:space="preserve">    RoleID INT IDENTITY(1,1) PRIMARY KEY,</t>
  </si>
  <si>
    <t xml:space="preserve">    RoleName NVARCHAR(50) NOT NULL,</t>
  </si>
  <si>
    <t xml:space="preserve">    Description NVARCHAR(200)</t>
  </si>
  <si>
    <t>CREATE TABLE Permission (</t>
  </si>
  <si>
    <t xml:space="preserve">    PermissionID INT IDENTITY(1,1) PRIMARY KEY,</t>
  </si>
  <si>
    <t xml:space="preserve">    PermissionName NVARCHAR(100) NOT NULL,</t>
  </si>
  <si>
    <t>CREATE TABLE RolePermission (</t>
  </si>
  <si>
    <t xml:space="preserve">    RoleID INT NOT NULL FOREIGN KEY REFERENCES Role(RoleID),</t>
  </si>
  <si>
    <t xml:space="preserve">    PermissionID INT NOT NULL FOREIGN KEY REFERENCES Permission(PermissionID),</t>
  </si>
  <si>
    <t xml:space="preserve">    PRIMARY KEY (RoleID, PermissionID)</t>
  </si>
  <si>
    <t>CREATE TABLE [User] (</t>
  </si>
  <si>
    <t xml:space="preserve">    UserID INT IDENTITY(1,1) PRIMARY KEY,</t>
  </si>
  <si>
    <t xml:space="preserve">    FullName NVARCHAR(100) NOT NULL,</t>
  </si>
  <si>
    <t xml:space="preserve">    DOB DATE NULL,</t>
  </si>
  <si>
    <t xml:space="preserve">    Email NVARCHAR(100) UNIQUE,</t>
  </si>
  <si>
    <t xml:space="preserve">    PhoneNumber NVARCHAR(20),</t>
  </si>
  <si>
    <t xml:space="preserve">    Address NVARCHAR(200),</t>
  </si>
  <si>
    <t xml:space="preserve">    IsMinor BIT DEFAULT 0,</t>
  </si>
  <si>
    <t xml:space="preserve">    CreatedDate DATETIME DEFAULT GETDATE(),</t>
  </si>
  <si>
    <t xml:space="preserve">    ModifiedDate DATETIME DEFAULT GETDATE(),</t>
  </si>
  <si>
    <t>CREATE TABLE UserRole (</t>
  </si>
  <si>
    <t xml:space="preserve">    UserID INT NOT NULL FOREIGN KEY REFERENCES [User](UserID),</t>
  </si>
  <si>
    <t xml:space="preserve">    PRIMARY KEY (UserID, RoleID)</t>
  </si>
  <si>
    <t>-- ======================</t>
  </si>
  <si>
    <t>CREATE TABLE Employee (</t>
  </si>
  <si>
    <t xml:space="preserve">    EmployeeID INT IDENTITY(1,1) PRIMARY KEY,</t>
  </si>
  <si>
    <t xml:space="preserve">    BranchID INT NOT NULL FOREIGN KEY REFERENCES Branch(BranchID),</t>
  </si>
  <si>
    <t xml:space="preserve">    HireDate DATETIME DEFAULT GETDATE(),</t>
  </si>
  <si>
    <t>-- CURRENCY AND ACCOUNT TYPES</t>
  </si>
  <si>
    <t>CREATE TABLE Currency (</t>
  </si>
  <si>
    <t xml:space="preserve">    CurrencyCode CHAR(3) PRIMARY KEY,</t>
  </si>
  <si>
    <t xml:space="preserve">    CurrencyName NVARCHAR(50) NOT NULL,</t>
  </si>
  <si>
    <t xml:space="preserve">    Symbol NVARCHAR(10)</t>
  </si>
  <si>
    <t>CREATE TABLE AccountType (</t>
  </si>
  <si>
    <t xml:space="preserve">    AccountTypeID INT IDENTITY(1,1) PRIMARY KEY,</t>
  </si>
  <si>
    <t xml:space="preserve">    TypeName NVARCHAR(50) NOT NULL,</t>
  </si>
  <si>
    <t>CREATE TABLE Account (</t>
  </si>
  <si>
    <t xml:space="preserve">    AccountID INT IDENTITY(1,1) PRIMARY KEY,</t>
  </si>
  <si>
    <t xml:space="preserve">    AccountTypeID INT NOT NULL FOREIGN KEY REFERENCES AccountType(AccountTypeID),</t>
  </si>
  <si>
    <t xml:space="preserve">    CurrencyCode CHAR(3) NOT NULL FOREIGN KEY REFERENCES Currency(CurrencyCode),</t>
  </si>
  <si>
    <t xml:space="preserve">    AccountNumber NVARCHAR(20) UNIQUE NOT NULL,</t>
  </si>
  <si>
    <t xml:space="preserve">    Balance DECIMAL(18,2) DEFAULT 0.00,</t>
  </si>
  <si>
    <t xml:space="preserve">    OpenDate DATETIME DEFAULT GETDATE(),</t>
  </si>
  <si>
    <t xml:space="preserve">    CloseDate DATETIME NULL,</t>
  </si>
  <si>
    <t xml:space="preserve">    IsActive BIT DEFAULT 1,</t>
  </si>
  <si>
    <t xml:space="preserve">    CreatedDate DATETIME DEFAULT GETDATE()</t>
  </si>
  <si>
    <t>-- POWER OF ATTORNEY</t>
  </si>
  <si>
    <t>CREATE TABLE PowerOfAttorney (</t>
  </si>
  <si>
    <t xml:space="preserve">    POAID INT IDENTITY(1,1) PRIMARY KEY,</t>
  </si>
  <si>
    <t xml:space="preserve">    AccountID INT NOT NULL FOREIGN KEY REFERENCES Account(AccountID),</t>
  </si>
  <si>
    <t xml:space="preserve">    GrantedToUserID INT NOT NULL FOREIGN KEY REFERENCES [User](UserID),</t>
  </si>
  <si>
    <t xml:space="preserve">    GrantedDate DATETIME DEFAULT GETDATE(),</t>
  </si>
  <si>
    <t xml:space="preserve">    ExpiryDate DATETIME NULL,</t>
  </si>
  <si>
    <t>CREATE TABLE AccountOperator (</t>
  </si>
  <si>
    <t xml:space="preserve">    OperatorID INT IDENTITY(1,1) PRIMARY KEY,</t>
  </si>
  <si>
    <t xml:space="preserve">    OperatorUserID INT NOT NULL FOREIGN KEY REFERENCES [User](UserID),</t>
  </si>
  <si>
    <t xml:space="preserve">    AccessLevel NVARCHAR(50) CHECK (AccessLevel IN ('ViewOnly', 'DepositOnly', 'DepositWithdrawLimited')),</t>
  </si>
  <si>
    <t>CREATE TABLE [Transaction] (</t>
  </si>
  <si>
    <t xml:space="preserve">    TransactionID BIGINT IDENTITY(1,1) PRIMARY KEY,</t>
  </si>
  <si>
    <t xml:space="preserve">    PerformedByUserID INT NOT NULL FOREIGN KEY REFERENCES [User](UserID),</t>
  </si>
  <si>
    <t xml:space="preserve">    TransactionType NVARCHAR(20) CHECK (TransactionType IN ('Deposit', 'Withdrawal', 'BalanceCheck', 'Closure')),</t>
  </si>
  <si>
    <t xml:space="preserve">    Amount DECIMAL(18,2) CHECK (Amount &gt;= 0),</t>
  </si>
  <si>
    <t xml:space="preserve">    TransactionDate DATETIME DEFAULT GETDATE(),</t>
  </si>
  <si>
    <t xml:space="preserve">    Remarks NVARCHAR(250)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</si>
</sst>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23037-64B1-463C-AFCB-92195C561CFD}">
  <dimension ref="A1:A141"/>
  <sheetViews>
    <sheetView tabSelected="1" workbookViewId="0">
      <selection activeCell="I4" sqref="I4"/>
    </sheetView>
  </sheetViews>
  <sheetFormatPr defaultRowHeight="14.5" x14ac:dyDescent="0.35"/>
  <sheetData>
    <row r="1" spans="1:1" x14ac:dyDescent="0.35">
      <c r="A1" t="s">
        <v>0</v>
      </c>
    </row>
    <row r="3" spans="1:1" x14ac:dyDescent="0.35">
      <c r="A3" t="s">
        <v>1</v>
      </c>
    </row>
    <row r="4" spans="1:1" x14ac:dyDescent="0.35">
      <c r="A4" t="s">
        <v>2</v>
      </c>
    </row>
    <row r="5" spans="1:1" x14ac:dyDescent="0.35">
      <c r="A5" t="s">
        <v>3</v>
      </c>
    </row>
    <row r="6" spans="1:1" x14ac:dyDescent="0.35">
      <c r="A6" t="s">
        <v>4</v>
      </c>
    </row>
    <row r="7" spans="1:1" x14ac:dyDescent="0.35">
      <c r="A7" t="s">
        <v>5</v>
      </c>
    </row>
    <row r="8" spans="1:1" x14ac:dyDescent="0.35">
      <c r="A8" t="s">
        <v>6</v>
      </c>
    </row>
    <row r="9" spans="1:1" x14ac:dyDescent="0.35">
      <c r="A9" t="s">
        <v>7</v>
      </c>
    </row>
    <row r="11" spans="1:1" x14ac:dyDescent="0.35">
      <c r="A11" t="s">
        <v>8</v>
      </c>
    </row>
    <row r="12" spans="1:1" x14ac:dyDescent="0.35">
      <c r="A12" t="s">
        <v>9</v>
      </c>
    </row>
    <row r="13" spans="1:1" x14ac:dyDescent="0.35">
      <c r="A13" t="s">
        <v>10</v>
      </c>
    </row>
    <row r="14" spans="1:1" x14ac:dyDescent="0.35">
      <c r="A14" t="s">
        <v>11</v>
      </c>
    </row>
    <row r="15" spans="1:1" x14ac:dyDescent="0.35">
      <c r="A15" t="s">
        <v>12</v>
      </c>
    </row>
    <row r="16" spans="1:1" x14ac:dyDescent="0.35">
      <c r="A16" t="s">
        <v>13</v>
      </c>
    </row>
    <row r="17" spans="1:1" x14ac:dyDescent="0.35">
      <c r="A17" t="s">
        <v>14</v>
      </c>
    </row>
    <row r="18" spans="1:1" x14ac:dyDescent="0.35">
      <c r="A18" t="s">
        <v>15</v>
      </c>
    </row>
    <row r="19" spans="1:1" x14ac:dyDescent="0.35">
      <c r="A19" t="s">
        <v>6</v>
      </c>
    </row>
    <row r="20" spans="1:1" x14ac:dyDescent="0.35">
      <c r="A20" t="s">
        <v>7</v>
      </c>
    </row>
    <row r="22" spans="1:1" x14ac:dyDescent="0.35">
      <c r="A22" t="e" cm="1">
        <f t="array" ref="A22">-- ROLES &amp; PERMISSIONS</f>
        <v>#NAME?</v>
      </c>
    </row>
    <row r="24" spans="1:1" x14ac:dyDescent="0.35">
      <c r="A24" t="s">
        <v>16</v>
      </c>
    </row>
    <row r="25" spans="1:1" x14ac:dyDescent="0.35">
      <c r="A25" t="s">
        <v>17</v>
      </c>
    </row>
    <row r="26" spans="1:1" x14ac:dyDescent="0.35">
      <c r="A26" t="s">
        <v>18</v>
      </c>
    </row>
    <row r="27" spans="1:1" x14ac:dyDescent="0.35">
      <c r="A27" t="s">
        <v>19</v>
      </c>
    </row>
    <row r="28" spans="1:1" x14ac:dyDescent="0.35">
      <c r="A28" t="s">
        <v>7</v>
      </c>
    </row>
    <row r="30" spans="1:1" x14ac:dyDescent="0.35">
      <c r="A30" t="s">
        <v>20</v>
      </c>
    </row>
    <row r="31" spans="1:1" x14ac:dyDescent="0.35">
      <c r="A31" t="s">
        <v>21</v>
      </c>
    </row>
    <row r="32" spans="1:1" x14ac:dyDescent="0.35">
      <c r="A32" t="s">
        <v>22</v>
      </c>
    </row>
    <row r="33" spans="1:1" x14ac:dyDescent="0.35">
      <c r="A33" t="s">
        <v>19</v>
      </c>
    </row>
    <row r="34" spans="1:1" x14ac:dyDescent="0.35">
      <c r="A34" t="s">
        <v>7</v>
      </c>
    </row>
    <row r="36" spans="1:1" x14ac:dyDescent="0.35">
      <c r="A36" t="s">
        <v>23</v>
      </c>
    </row>
    <row r="37" spans="1:1" x14ac:dyDescent="0.35">
      <c r="A37" t="s">
        <v>24</v>
      </c>
    </row>
    <row r="38" spans="1:1" x14ac:dyDescent="0.35">
      <c r="A38" t="s">
        <v>25</v>
      </c>
    </row>
    <row r="39" spans="1:1" x14ac:dyDescent="0.35">
      <c r="A39" t="s">
        <v>26</v>
      </c>
    </row>
    <row r="40" spans="1:1" x14ac:dyDescent="0.35">
      <c r="A40" t="s">
        <v>7</v>
      </c>
    </row>
    <row r="42" spans="1:1" x14ac:dyDescent="0.35">
      <c r="A42" t="e" cm="1">
        <f t="array" ref="A42">-- USERS</f>
        <v>#NAME?</v>
      </c>
    </row>
    <row r="44" spans="1:1" x14ac:dyDescent="0.35">
      <c r="A44" t="s">
        <v>27</v>
      </c>
    </row>
    <row r="45" spans="1:1" x14ac:dyDescent="0.35">
      <c r="A45" t="s">
        <v>28</v>
      </c>
    </row>
    <row r="46" spans="1:1" x14ac:dyDescent="0.35">
      <c r="A46" t="s">
        <v>29</v>
      </c>
    </row>
    <row r="47" spans="1:1" x14ac:dyDescent="0.35">
      <c r="A47" t="s">
        <v>30</v>
      </c>
    </row>
    <row r="48" spans="1:1" x14ac:dyDescent="0.35">
      <c r="A48" t="s">
        <v>31</v>
      </c>
    </row>
    <row r="49" spans="1:1" x14ac:dyDescent="0.35">
      <c r="A49" t="s">
        <v>32</v>
      </c>
    </row>
    <row r="50" spans="1:1" x14ac:dyDescent="0.35">
      <c r="A50" t="s">
        <v>33</v>
      </c>
    </row>
    <row r="51" spans="1:1" x14ac:dyDescent="0.35">
      <c r="A51" t="s">
        <v>34</v>
      </c>
    </row>
    <row r="52" spans="1:1" x14ac:dyDescent="0.35">
      <c r="A52" t="s">
        <v>35</v>
      </c>
    </row>
    <row r="53" spans="1:1" x14ac:dyDescent="0.35">
      <c r="A53" t="s">
        <v>36</v>
      </c>
    </row>
    <row r="54" spans="1:1" x14ac:dyDescent="0.35">
      <c r="A54" t="s">
        <v>6</v>
      </c>
    </row>
    <row r="55" spans="1:1" x14ac:dyDescent="0.35">
      <c r="A55" t="s">
        <v>7</v>
      </c>
    </row>
    <row r="57" spans="1:1" x14ac:dyDescent="0.35">
      <c r="A57" t="s">
        <v>37</v>
      </c>
    </row>
    <row r="58" spans="1:1" x14ac:dyDescent="0.35">
      <c r="A58" t="s">
        <v>38</v>
      </c>
    </row>
    <row r="59" spans="1:1" x14ac:dyDescent="0.35">
      <c r="A59" t="s">
        <v>24</v>
      </c>
    </row>
    <row r="60" spans="1:1" x14ac:dyDescent="0.35">
      <c r="A60" t="s">
        <v>39</v>
      </c>
    </row>
    <row r="61" spans="1:1" x14ac:dyDescent="0.35">
      <c r="A61" t="s">
        <v>7</v>
      </c>
    </row>
    <row r="63" spans="1:1" x14ac:dyDescent="0.35">
      <c r="A63" t="s">
        <v>40</v>
      </c>
    </row>
    <row r="64" spans="1:1" x14ac:dyDescent="0.35">
      <c r="A64" t="e" cm="1">
        <f t="array" ref="A64">-- EMPLOYEES</f>
        <v>#NAME?</v>
      </c>
    </row>
    <row r="65" spans="1:1" x14ac:dyDescent="0.35">
      <c r="A65" t="s">
        <v>40</v>
      </c>
    </row>
    <row r="66" spans="1:1" x14ac:dyDescent="0.35">
      <c r="A66" t="s">
        <v>41</v>
      </c>
    </row>
    <row r="67" spans="1:1" x14ac:dyDescent="0.35">
      <c r="A67" t="s">
        <v>42</v>
      </c>
    </row>
    <row r="68" spans="1:1" x14ac:dyDescent="0.35">
      <c r="A68" t="s">
        <v>43</v>
      </c>
    </row>
    <row r="69" spans="1:1" x14ac:dyDescent="0.35">
      <c r="A69" t="s">
        <v>29</v>
      </c>
    </row>
    <row r="70" spans="1:1" x14ac:dyDescent="0.35">
      <c r="A70" t="s">
        <v>31</v>
      </c>
    </row>
    <row r="71" spans="1:1" x14ac:dyDescent="0.35">
      <c r="A71" t="s">
        <v>32</v>
      </c>
    </row>
    <row r="72" spans="1:1" x14ac:dyDescent="0.35">
      <c r="A72" t="s">
        <v>24</v>
      </c>
    </row>
    <row r="73" spans="1:1" x14ac:dyDescent="0.35">
      <c r="A73" t="s">
        <v>44</v>
      </c>
    </row>
    <row r="74" spans="1:1" x14ac:dyDescent="0.35">
      <c r="A74" t="s">
        <v>6</v>
      </c>
    </row>
    <row r="75" spans="1:1" x14ac:dyDescent="0.35">
      <c r="A75" t="s">
        <v>7</v>
      </c>
    </row>
    <row r="77" spans="1:1" x14ac:dyDescent="0.35">
      <c r="A77" t="s">
        <v>45</v>
      </c>
    </row>
    <row r="79" spans="1:1" x14ac:dyDescent="0.35">
      <c r="A79" t="s">
        <v>46</v>
      </c>
    </row>
    <row r="80" spans="1:1" x14ac:dyDescent="0.35">
      <c r="A80" t="s">
        <v>47</v>
      </c>
    </row>
    <row r="81" spans="1:1" x14ac:dyDescent="0.35">
      <c r="A81" t="s">
        <v>48</v>
      </c>
    </row>
    <row r="82" spans="1:1" x14ac:dyDescent="0.35">
      <c r="A82" t="s">
        <v>49</v>
      </c>
    </row>
    <row r="83" spans="1:1" x14ac:dyDescent="0.35">
      <c r="A83" t="s">
        <v>7</v>
      </c>
    </row>
    <row r="85" spans="1:1" x14ac:dyDescent="0.35">
      <c r="A85" t="s">
        <v>50</v>
      </c>
    </row>
    <row r="86" spans="1:1" x14ac:dyDescent="0.35">
      <c r="A86" t="s">
        <v>51</v>
      </c>
    </row>
    <row r="87" spans="1:1" x14ac:dyDescent="0.35">
      <c r="A87" t="s">
        <v>52</v>
      </c>
    </row>
    <row r="88" spans="1:1" x14ac:dyDescent="0.35">
      <c r="A88" t="s">
        <v>19</v>
      </c>
    </row>
    <row r="89" spans="1:1" x14ac:dyDescent="0.35">
      <c r="A89" t="s">
        <v>7</v>
      </c>
    </row>
    <row r="91" spans="1:1" x14ac:dyDescent="0.35">
      <c r="A91" t="e" cm="1">
        <f t="array" ref="A91">-- ACCOUNTS</f>
        <v>#NAME?</v>
      </c>
    </row>
    <row r="93" spans="1:1" x14ac:dyDescent="0.35">
      <c r="A93" t="s">
        <v>53</v>
      </c>
    </row>
    <row r="94" spans="1:1" x14ac:dyDescent="0.35">
      <c r="A94" t="s">
        <v>54</v>
      </c>
    </row>
    <row r="95" spans="1:1" x14ac:dyDescent="0.35">
      <c r="A95" t="s">
        <v>38</v>
      </c>
    </row>
    <row r="96" spans="1:1" x14ac:dyDescent="0.35">
      <c r="A96" t="s">
        <v>43</v>
      </c>
    </row>
    <row r="97" spans="1:1" x14ac:dyDescent="0.35">
      <c r="A97" t="s">
        <v>55</v>
      </c>
    </row>
    <row r="98" spans="1:1" x14ac:dyDescent="0.35">
      <c r="A98" t="s">
        <v>56</v>
      </c>
    </row>
    <row r="99" spans="1:1" x14ac:dyDescent="0.35">
      <c r="A99" t="s">
        <v>57</v>
      </c>
    </row>
    <row r="100" spans="1:1" x14ac:dyDescent="0.35">
      <c r="A100" t="s">
        <v>58</v>
      </c>
    </row>
    <row r="101" spans="1:1" x14ac:dyDescent="0.35">
      <c r="A101" t="s">
        <v>59</v>
      </c>
    </row>
    <row r="102" spans="1:1" x14ac:dyDescent="0.35">
      <c r="A102" t="s">
        <v>60</v>
      </c>
    </row>
    <row r="103" spans="1:1" x14ac:dyDescent="0.35">
      <c r="A103" t="s">
        <v>61</v>
      </c>
    </row>
    <row r="104" spans="1:1" x14ac:dyDescent="0.35">
      <c r="A104" t="s">
        <v>62</v>
      </c>
    </row>
    <row r="105" spans="1:1" x14ac:dyDescent="0.35">
      <c r="A105" t="s">
        <v>7</v>
      </c>
    </row>
    <row r="107" spans="1:1" x14ac:dyDescent="0.35">
      <c r="A107" t="s">
        <v>63</v>
      </c>
    </row>
    <row r="109" spans="1:1" x14ac:dyDescent="0.35">
      <c r="A109" t="s">
        <v>64</v>
      </c>
    </row>
    <row r="110" spans="1:1" x14ac:dyDescent="0.35">
      <c r="A110" t="s">
        <v>65</v>
      </c>
    </row>
    <row r="111" spans="1:1" x14ac:dyDescent="0.35">
      <c r="A111" t="s">
        <v>66</v>
      </c>
    </row>
    <row r="112" spans="1:1" x14ac:dyDescent="0.35">
      <c r="A112" t="s">
        <v>67</v>
      </c>
    </row>
    <row r="113" spans="1:1" x14ac:dyDescent="0.35">
      <c r="A113" t="s">
        <v>68</v>
      </c>
    </row>
    <row r="114" spans="1:1" x14ac:dyDescent="0.35">
      <c r="A114" t="s">
        <v>69</v>
      </c>
    </row>
    <row r="115" spans="1:1" x14ac:dyDescent="0.35">
      <c r="A115" t="s">
        <v>6</v>
      </c>
    </row>
    <row r="116" spans="1:1" x14ac:dyDescent="0.35">
      <c r="A116" t="s">
        <v>7</v>
      </c>
    </row>
    <row r="118" spans="1:1" x14ac:dyDescent="0.35">
      <c r="A118" t="e" cm="1">
        <f t="array" ref="A118">-- ACCOUNT OPERATORS (LIMITED ACCESS)</f>
        <v>#NAME?</v>
      </c>
    </row>
    <row r="120" spans="1:1" x14ac:dyDescent="0.35">
      <c r="A120" t="s">
        <v>70</v>
      </c>
    </row>
    <row r="121" spans="1:1" x14ac:dyDescent="0.35">
      <c r="A121" t="s">
        <v>71</v>
      </c>
    </row>
    <row r="122" spans="1:1" x14ac:dyDescent="0.35">
      <c r="A122" t="s">
        <v>66</v>
      </c>
    </row>
    <row r="123" spans="1:1" x14ac:dyDescent="0.35">
      <c r="A123" t="s">
        <v>72</v>
      </c>
    </row>
    <row r="124" spans="1:1" x14ac:dyDescent="0.35">
      <c r="A124" t="s">
        <v>73</v>
      </c>
    </row>
    <row r="125" spans="1:1" x14ac:dyDescent="0.35">
      <c r="A125" t="s">
        <v>68</v>
      </c>
    </row>
    <row r="126" spans="1:1" x14ac:dyDescent="0.35">
      <c r="A126" t="s">
        <v>69</v>
      </c>
    </row>
    <row r="127" spans="1:1" x14ac:dyDescent="0.35">
      <c r="A127" t="s">
        <v>6</v>
      </c>
    </row>
    <row r="128" spans="1:1" x14ac:dyDescent="0.35">
      <c r="A128" t="s">
        <v>7</v>
      </c>
    </row>
    <row r="130" spans="1:1" x14ac:dyDescent="0.35">
      <c r="A130" t="e" cm="1">
        <f t="array" ref="A130">-- TRANSACTIONS</f>
        <v>#NAME?</v>
      </c>
    </row>
    <row r="132" spans="1:1" x14ac:dyDescent="0.35">
      <c r="A132" t="s">
        <v>74</v>
      </c>
    </row>
    <row r="133" spans="1:1" x14ac:dyDescent="0.35">
      <c r="A133" t="s">
        <v>75</v>
      </c>
    </row>
    <row r="134" spans="1:1" x14ac:dyDescent="0.35">
      <c r="A134" t="s">
        <v>66</v>
      </c>
    </row>
    <row r="135" spans="1:1" x14ac:dyDescent="0.35">
      <c r="A135" t="s">
        <v>76</v>
      </c>
    </row>
    <row r="136" spans="1:1" x14ac:dyDescent="0.35">
      <c r="A136" t="s">
        <v>77</v>
      </c>
    </row>
    <row r="137" spans="1:1" x14ac:dyDescent="0.35">
      <c r="A137" t="s">
        <v>78</v>
      </c>
    </row>
    <row r="138" spans="1:1" x14ac:dyDescent="0.35">
      <c r="A138" t="s">
        <v>56</v>
      </c>
    </row>
    <row r="139" spans="1:1" x14ac:dyDescent="0.35">
      <c r="A139" t="s">
        <v>79</v>
      </c>
    </row>
    <row r="140" spans="1:1" x14ac:dyDescent="0.35">
      <c r="A140" t="s">
        <v>80</v>
      </c>
    </row>
    <row r="141" spans="1:1" x14ac:dyDescent="0.35">
      <c r="A141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Yaeshwanth V.</dc:creator>
  <cp:lastModifiedBy>Yaeshwanth V.</cp:lastModifiedBy>
  <dcterms:created xsi:type="dcterms:W3CDTF">2025-10-28T08:46:42Z</dcterms:created>
  <dcterms:modified xsi:type="dcterms:W3CDTF">2025-10-28T08:47:16Z</dcterms:modified>
</cp:coreProperties>
</file>